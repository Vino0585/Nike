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9FD9137C-CA4B-8B43-85BD-514EAAD907E1}" xr6:coauthVersionLast="47" xr6:coauthVersionMax="47" xr10:uidLastSave="{00000000-0000-0000-0000-000000000000}"/>
  <bookViews>
    <workbookView xWindow="68260" yWindow="600" windowWidth="34140" windowHeight="28200" activeTab="4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0" l="1" a="1"/>
  <c r="Q6" i="10" s="1"/>
  <c r="P6" i="10" a="1"/>
  <c r="P6" i="10" s="1"/>
  <c r="O6" i="10" a="1"/>
  <c r="O6" i="10" s="1"/>
  <c r="N6" i="10" a="1"/>
  <c r="N6" i="10" s="1"/>
  <c r="Q5" i="10" a="1"/>
  <c r="Q5" i="10" s="1"/>
  <c r="P5" i="10" a="1"/>
  <c r="P5" i="10" s="1"/>
  <c r="O5" i="10" a="1"/>
  <c r="O5" i="10" s="1"/>
  <c r="N5" i="10" a="1"/>
  <c r="N5" i="10" s="1"/>
  <c r="Q4" i="10" a="1"/>
  <c r="Q4" i="10" s="1"/>
  <c r="P4" i="10" a="1"/>
  <c r="P4" i="10" s="1"/>
  <c r="O4" i="10" a="1"/>
  <c r="O4" i="10" s="1"/>
  <c r="N4" i="10" a="1"/>
  <c r="N4" i="10" s="1"/>
  <c r="Q3" i="10" a="1"/>
  <c r="Q3" i="10" s="1"/>
  <c r="P3" i="10" a="1"/>
  <c r="P3" i="10" s="1"/>
  <c r="O3" i="10" a="1"/>
  <c r="O3" i="10" s="1"/>
  <c r="N3" i="10" a="1"/>
  <c r="N3" i="10" s="1"/>
  <c r="Q53" i="7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<sst xmlns="http://schemas.openxmlformats.org/spreadsheetml/2006/main" count="65587" uniqueCount="23550">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</sst>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5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0@0" TargetMode="External"/><Relationship Id="rId3" Type="http://schemas.openxmlformats.org/officeDocument/2006/relationships/hyperlink" Target="mailto:BOX@COI@CST@CTL@LBL@PRI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2" Type="http://schemas.openxmlformats.org/officeDocument/2006/relationships/hyperlink" Target="mailto:0.00@14630.00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BOX@COI@CST@CTL@LBL@PRI" TargetMode="External"/><Relationship Id="rId11" Type="http://schemas.openxmlformats.org/officeDocument/2006/relationships/hyperlink" Target="mailto:BOX@CTL" TargetMode="External"/><Relationship Id="rId5" Type="http://schemas.openxmlformats.org/officeDocument/2006/relationships/hyperlink" Target="mailto:0.00@14630.00" TargetMode="External"/><Relationship Id="rId10" Type="http://schemas.openxmlformats.org/officeDocument/2006/relationships/hyperlink" Target="mailto:0@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BOX@CT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4" t="s">
        <v>0</v>
      </c>
      <c r="B1" s="64"/>
      <c r="C1" s="64"/>
      <c r="D1" s="64"/>
      <c r="E1" s="64"/>
      <c r="F1" s="64"/>
      <c r="G1" s="64"/>
      <c r="H1" s="65"/>
      <c r="I1" s="63" t="s">
        <v>1</v>
      </c>
      <c r="J1" s="64"/>
      <c r="K1" s="64"/>
      <c r="L1" s="64"/>
      <c r="M1" s="64"/>
      <c r="N1" s="65"/>
      <c r="O1" s="66"/>
      <c r="P1" s="65"/>
      <c r="Q1" s="72" t="s">
        <v>2</v>
      </c>
      <c r="R1" s="73"/>
      <c r="S1" s="73"/>
      <c r="T1" s="73"/>
      <c r="U1" s="73"/>
      <c r="V1" s="73"/>
      <c r="W1" s="73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"/>
  <sheetViews>
    <sheetView zoomScale="140" workbookViewId="0">
      <selection activeCell="G27" sqref="G27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7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9"/>
      <c r="L1" s="29"/>
      <c r="M1" s="63" t="s">
        <v>1</v>
      </c>
      <c r="N1" s="64"/>
      <c r="O1" s="64"/>
      <c r="P1" s="64"/>
      <c r="Q1" s="64"/>
      <c r="R1" s="64"/>
      <c r="S1" s="65"/>
      <c r="T1" s="66" t="s">
        <v>23486</v>
      </c>
      <c r="U1" s="65"/>
      <c r="V1" s="70" t="s">
        <v>2</v>
      </c>
      <c r="W1" s="71"/>
      <c r="X1" s="71"/>
      <c r="Y1" s="71"/>
      <c r="Z1" s="71"/>
      <c r="AA1" s="71"/>
      <c r="AB1" s="71"/>
      <c r="AC1" s="71"/>
      <c r="AD1" s="71"/>
      <c r="AE1" s="71"/>
    </row>
    <row r="2" spans="1:31">
      <c r="A2" s="1" t="s">
        <v>3</v>
      </c>
      <c r="B2" s="1" t="s">
        <v>4</v>
      </c>
      <c r="C2" s="1" t="s">
        <v>5</v>
      </c>
      <c r="D2" s="44" t="s">
        <v>6</v>
      </c>
      <c r="E2" s="1" t="s">
        <v>7</v>
      </c>
      <c r="F2" s="44" t="s">
        <v>8</v>
      </c>
      <c r="G2" s="52" t="s">
        <v>23463</v>
      </c>
      <c r="H2" s="44" t="s">
        <v>9</v>
      </c>
      <c r="I2" s="1" t="s">
        <v>10</v>
      </c>
      <c r="J2" s="45" t="s">
        <v>11110</v>
      </c>
      <c r="K2" s="45" t="s">
        <v>11111</v>
      </c>
      <c r="L2" s="45" t="s">
        <v>11112</v>
      </c>
      <c r="M2" s="46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7" t="s">
        <v>11117</v>
      </c>
      <c r="U2" s="44" t="s">
        <v>11116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5" t="s">
        <v>25</v>
      </c>
      <c r="AC2" s="44" t="s">
        <v>23481</v>
      </c>
      <c r="AD2" s="45" t="s">
        <v>23482</v>
      </c>
      <c r="AE2" s="45" t="s">
        <v>23483</v>
      </c>
    </row>
    <row r="3" spans="1:31" ht="17">
      <c r="A3" s="11">
        <v>1081</v>
      </c>
      <c r="B3" s="11" t="s">
        <v>26</v>
      </c>
      <c r="C3" s="51" t="s">
        <v>23548</v>
      </c>
      <c r="D3" s="11" t="s">
        <v>28</v>
      </c>
      <c r="E3" s="62" t="s">
        <v>29</v>
      </c>
      <c r="F3" s="11" t="s">
        <v>23519</v>
      </c>
      <c r="G3" s="11" t="s">
        <v>23520</v>
      </c>
      <c r="H3" s="11">
        <v>6</v>
      </c>
      <c r="I3" s="11" t="s">
        <v>32</v>
      </c>
      <c r="J3" s="51" t="s">
        <v>23509</v>
      </c>
      <c r="K3" s="51" t="s">
        <v>23521</v>
      </c>
      <c r="L3" s="11" t="s">
        <v>23522</v>
      </c>
      <c r="M3" s="6" t="s">
        <v>23468</v>
      </c>
      <c r="N3" s="6" t="str" cm="1">
        <f t="array" ref="N3">"000" &amp; _xlfn.XLOOKUP(VALUE(M3),VALUE(B2B_SUB_HUB!E:E),B2B_SUB_HUB!Q:Q,"Not Found",0)</f>
        <v>0008006194</v>
      </c>
      <c r="O3" s="11" t="str" cm="1">
        <f t="array" ref="O3">_xlfn.XLOOKUP(VALUE(M3),VALUE(B2B_SUB_HUB!E:E),B2B_SUB_HUB!N:N,"Not Found",0)</f>
        <v>PLUS</v>
      </c>
      <c r="P3" s="11" t="str" cm="1">
        <f t="array" ref="P3">_xlfn.XLOOKUP(VALUE(M3),VALUE(B2B_SUB_HUB!E:E),B2B_SUB_HUB!P:P,"Not Found",0)</f>
        <v>H733</v>
      </c>
      <c r="Q3" s="11" t="str" cm="1">
        <f t="array" ref="Q3">_xlfn.XLOOKUP(VALUE(M3),VALUE(B2B_SUB_HUB!E:E),B2B_SUB_HUB!O:O,"Not Found",0)</f>
        <v>SH3-09</v>
      </c>
      <c r="R3" s="11">
        <v>203501</v>
      </c>
      <c r="S3" s="11">
        <v>300818</v>
      </c>
      <c r="T3" s="12" t="s">
        <v>23487</v>
      </c>
      <c r="U3" s="60" t="s">
        <v>23488</v>
      </c>
      <c r="V3" s="13" t="s">
        <v>23477</v>
      </c>
      <c r="W3" s="13" t="s">
        <v>23478</v>
      </c>
      <c r="X3" s="13" t="s">
        <v>23479</v>
      </c>
      <c r="Y3" s="13" t="s">
        <v>23480</v>
      </c>
      <c r="Z3" s="51" t="s">
        <v>23513</v>
      </c>
      <c r="AA3" s="51" t="s">
        <v>42</v>
      </c>
      <c r="AB3" s="51" t="s">
        <v>43</v>
      </c>
      <c r="AC3" s="13" t="s">
        <v>23484</v>
      </c>
      <c r="AD3" s="13" t="s">
        <v>23477</v>
      </c>
      <c r="AE3" s="13" t="s">
        <v>23485</v>
      </c>
    </row>
    <row r="4" spans="1:31" ht="17">
      <c r="A4" s="11">
        <v>1081</v>
      </c>
      <c r="B4" s="11" t="s">
        <v>26</v>
      </c>
      <c r="C4" s="51" t="s">
        <v>23548</v>
      </c>
      <c r="D4" s="11" t="s">
        <v>28</v>
      </c>
      <c r="E4" s="62" t="s">
        <v>29</v>
      </c>
      <c r="F4" s="11" t="s">
        <v>23519</v>
      </c>
      <c r="G4" s="11" t="s">
        <v>23520</v>
      </c>
      <c r="H4" s="11">
        <v>6</v>
      </c>
      <c r="I4" s="11" t="s">
        <v>32</v>
      </c>
      <c r="J4" s="51" t="s">
        <v>23509</v>
      </c>
      <c r="K4" s="51" t="s">
        <v>23521</v>
      </c>
      <c r="L4" s="11" t="s">
        <v>23522</v>
      </c>
      <c r="M4" s="6" t="s">
        <v>23468</v>
      </c>
      <c r="N4" s="6" t="str" cm="1">
        <f t="array" ref="N4">"000" &amp; _xlfn.XLOOKUP(VALUE(M4),VALUE(B2B_SUB_HUB!E:E),B2B_SUB_HUB!Q:Q,"Not Found",0)</f>
        <v>0008006194</v>
      </c>
      <c r="O4" s="11" t="str" cm="1">
        <f t="array" ref="O4">_xlfn.XLOOKUP(VALUE(M4),VALUE(B2B_SUB_HUB!E:E),B2B_SUB_HUB!N:N,"Not Found",0)</f>
        <v>PLUS</v>
      </c>
      <c r="P4" s="11" t="str" cm="1">
        <f t="array" ref="P4">_xlfn.XLOOKUP(VALUE(M4),VALUE(B2B_SUB_HUB!E:E),B2B_SUB_HUB!P:P,"Not Found",0)</f>
        <v>H733</v>
      </c>
      <c r="Q4" s="11" t="str" cm="1">
        <f t="array" ref="Q4">_xlfn.XLOOKUP(VALUE(M4),VALUE(B2B_SUB_HUB!E:E),B2B_SUB_HUB!O:O,"Not Found",0)</f>
        <v>SH3-09</v>
      </c>
      <c r="R4" s="11">
        <v>203501</v>
      </c>
      <c r="S4" s="11">
        <v>300818</v>
      </c>
      <c r="T4" s="12" t="s">
        <v>23487</v>
      </c>
      <c r="U4" s="60" t="s">
        <v>23488</v>
      </c>
      <c r="V4" s="13" t="s">
        <v>23477</v>
      </c>
      <c r="W4" s="13" t="s">
        <v>23478</v>
      </c>
      <c r="X4" s="13" t="s">
        <v>23479</v>
      </c>
      <c r="Y4" s="13" t="s">
        <v>23480</v>
      </c>
      <c r="Z4" s="51" t="s">
        <v>23513</v>
      </c>
      <c r="AA4" s="51" t="s">
        <v>42</v>
      </c>
      <c r="AB4" s="51" t="s">
        <v>43</v>
      </c>
      <c r="AC4" s="13" t="s">
        <v>23484</v>
      </c>
      <c r="AD4" s="13" t="s">
        <v>23477</v>
      </c>
      <c r="AE4" s="13" t="s">
        <v>23485</v>
      </c>
    </row>
    <row r="5" spans="1:31" ht="17">
      <c r="A5" s="11">
        <v>1081</v>
      </c>
      <c r="B5" s="11" t="s">
        <v>26</v>
      </c>
      <c r="C5" s="51" t="s">
        <v>23548</v>
      </c>
      <c r="D5" s="11" t="s">
        <v>28</v>
      </c>
      <c r="E5" s="62" t="s">
        <v>29</v>
      </c>
      <c r="F5" s="11" t="s">
        <v>23519</v>
      </c>
      <c r="G5" s="11" t="s">
        <v>23520</v>
      </c>
      <c r="H5" s="11">
        <v>6</v>
      </c>
      <c r="I5" s="11" t="s">
        <v>32</v>
      </c>
      <c r="J5" s="51" t="s">
        <v>23509</v>
      </c>
      <c r="K5" s="51" t="s">
        <v>23521</v>
      </c>
      <c r="L5" s="11" t="s">
        <v>23522</v>
      </c>
      <c r="M5" s="6" t="s">
        <v>23468</v>
      </c>
      <c r="N5" s="6" t="str" cm="1">
        <f t="array" ref="N5">"000" &amp; _xlfn.XLOOKUP(VALUE(M5),VALUE(B2B_SUB_HUB!E:E),B2B_SUB_HUB!Q:Q,"Not Found",0)</f>
        <v>0008006194</v>
      </c>
      <c r="O5" s="11" t="str" cm="1">
        <f t="array" ref="O5">_xlfn.XLOOKUP(VALUE(M5),VALUE(B2B_SUB_HUB!E:E),B2B_SUB_HUB!N:N,"Not Found",0)</f>
        <v>PLUS</v>
      </c>
      <c r="P5" s="11" t="str" cm="1">
        <f t="array" ref="P5">_xlfn.XLOOKUP(VALUE(M5),VALUE(B2B_SUB_HUB!E:E),B2B_SUB_HUB!P:P,"Not Found",0)</f>
        <v>H733</v>
      </c>
      <c r="Q5" s="11" t="str" cm="1">
        <f t="array" ref="Q5">_xlfn.XLOOKUP(VALUE(M5),VALUE(B2B_SUB_HUB!E:E),B2B_SUB_HUB!O:O,"Not Found",0)</f>
        <v>SH3-09</v>
      </c>
      <c r="R5" s="11">
        <v>203501</v>
      </c>
      <c r="S5" s="11">
        <v>300818</v>
      </c>
      <c r="T5" s="2" t="s">
        <v>23492</v>
      </c>
      <c r="U5" s="43" t="s">
        <v>23493</v>
      </c>
      <c r="V5" s="13" t="s">
        <v>23477</v>
      </c>
      <c r="W5" s="13" t="s">
        <v>23478</v>
      </c>
      <c r="X5" s="13" t="s">
        <v>23479</v>
      </c>
      <c r="Y5" s="13" t="s">
        <v>23480</v>
      </c>
      <c r="Z5" s="51" t="s">
        <v>23513</v>
      </c>
      <c r="AA5" s="51" t="s">
        <v>42</v>
      </c>
      <c r="AB5" s="51" t="s">
        <v>43</v>
      </c>
      <c r="AC5" s="13" t="s">
        <v>23484</v>
      </c>
      <c r="AD5" s="13" t="s">
        <v>23477</v>
      </c>
      <c r="AE5" s="13" t="s">
        <v>23485</v>
      </c>
    </row>
    <row r="6" spans="1:31" ht="17">
      <c r="A6" s="11">
        <v>1081</v>
      </c>
      <c r="B6" s="11" t="s">
        <v>26</v>
      </c>
      <c r="C6" s="51" t="s">
        <v>23548</v>
      </c>
      <c r="D6" s="11" t="s">
        <v>28</v>
      </c>
      <c r="E6" s="62" t="s">
        <v>29</v>
      </c>
      <c r="F6" s="11" t="s">
        <v>23519</v>
      </c>
      <c r="G6" s="11" t="s">
        <v>23520</v>
      </c>
      <c r="H6" s="11">
        <v>6</v>
      </c>
      <c r="I6" s="11" t="s">
        <v>32</v>
      </c>
      <c r="J6" s="51" t="s">
        <v>23509</v>
      </c>
      <c r="K6" s="51" t="s">
        <v>23521</v>
      </c>
      <c r="L6" s="11" t="s">
        <v>23522</v>
      </c>
      <c r="M6" s="6" t="s">
        <v>23468</v>
      </c>
      <c r="N6" s="6" t="str" cm="1">
        <f t="array" ref="N6">"000" &amp; _xlfn.XLOOKUP(VALUE(M6),VALUE(B2B_SUB_HUB!E:E),B2B_SUB_HUB!Q:Q,"Not Found",0)</f>
        <v>0008006194</v>
      </c>
      <c r="O6" s="11" t="str" cm="1">
        <f t="array" ref="O6">_xlfn.XLOOKUP(VALUE(M6),VALUE(B2B_SUB_HUB!E:E),B2B_SUB_HUB!N:N,"Not Found",0)</f>
        <v>PLUS</v>
      </c>
      <c r="P6" s="11" t="str" cm="1">
        <f t="array" ref="P6">_xlfn.XLOOKUP(VALUE(M6),VALUE(B2B_SUB_HUB!E:E),B2B_SUB_HUB!P:P,"Not Found",0)</f>
        <v>H733</v>
      </c>
      <c r="Q6" s="11" t="str" cm="1">
        <f t="array" ref="Q6">_xlfn.XLOOKUP(VALUE(M6),VALUE(B2B_SUB_HUB!E:E),B2B_SUB_HUB!O:O,"Not Found",0)</f>
        <v>SH3-09</v>
      </c>
      <c r="R6" s="11">
        <v>203501</v>
      </c>
      <c r="S6" s="11">
        <v>300818</v>
      </c>
      <c r="T6" s="2" t="s">
        <v>23492</v>
      </c>
      <c r="U6" s="43" t="s">
        <v>23493</v>
      </c>
      <c r="V6" s="13" t="s">
        <v>23477</v>
      </c>
      <c r="W6" s="13" t="s">
        <v>23478</v>
      </c>
      <c r="X6" s="13" t="s">
        <v>23479</v>
      </c>
      <c r="Y6" s="13" t="s">
        <v>23480</v>
      </c>
      <c r="Z6" s="51" t="s">
        <v>23513</v>
      </c>
      <c r="AA6" s="51" t="s">
        <v>42</v>
      </c>
      <c r="AB6" s="51" t="s">
        <v>43</v>
      </c>
      <c r="AC6" s="13" t="s">
        <v>23484</v>
      </c>
      <c r="AD6" s="13" t="s">
        <v>23477</v>
      </c>
      <c r="AE6" s="13" t="s">
        <v>23485</v>
      </c>
    </row>
    <row r="7" spans="1:31" ht="17">
      <c r="A7" s="51"/>
      <c r="B7" s="51"/>
      <c r="C7" s="51"/>
      <c r="D7" s="51"/>
      <c r="E7" s="61"/>
      <c r="F7" s="11"/>
      <c r="H7" s="51"/>
      <c r="I7" s="51"/>
      <c r="J7" s="51"/>
      <c r="K7" s="51"/>
      <c r="L7" s="51"/>
      <c r="M7" s="6"/>
      <c r="N7" s="6"/>
      <c r="O7" s="11"/>
      <c r="P7" s="11"/>
      <c r="Q7" s="11"/>
      <c r="R7" s="11"/>
      <c r="S7" s="11"/>
      <c r="T7" s="11"/>
      <c r="U7" s="11"/>
      <c r="V7" s="51"/>
      <c r="W7" s="51"/>
      <c r="X7" s="51"/>
      <c r="Y7" s="51"/>
      <c r="Z7" s="51"/>
      <c r="AA7" s="51"/>
      <c r="AB7" s="51"/>
      <c r="AC7" s="13"/>
      <c r="AD7" s="51"/>
      <c r="AE7" s="51"/>
    </row>
    <row r="8" spans="1:31" ht="17">
      <c r="A8" s="51"/>
      <c r="B8" s="51"/>
      <c r="C8" s="51"/>
      <c r="D8" s="51"/>
      <c r="E8" s="61"/>
      <c r="F8" s="11"/>
      <c r="H8" s="51"/>
      <c r="I8" s="51"/>
      <c r="J8" s="51"/>
      <c r="K8" s="51"/>
      <c r="L8" s="51"/>
      <c r="M8" s="6"/>
      <c r="N8" s="6"/>
      <c r="O8" s="11"/>
      <c r="P8" s="11"/>
      <c r="Q8" s="11"/>
      <c r="R8" s="11"/>
      <c r="S8" s="11"/>
      <c r="T8" s="11"/>
      <c r="U8" s="11"/>
      <c r="V8" s="51"/>
      <c r="W8" s="51"/>
      <c r="X8" s="51"/>
      <c r="Y8" s="51"/>
      <c r="Z8" s="51"/>
      <c r="AA8" s="51"/>
      <c r="AB8" s="51"/>
      <c r="AC8" s="13"/>
      <c r="AD8" s="51"/>
      <c r="AE8" s="51"/>
    </row>
    <row r="9" spans="1:31" ht="17">
      <c r="A9" s="51"/>
      <c r="B9" s="51"/>
      <c r="C9" s="51"/>
      <c r="D9" s="51"/>
      <c r="E9" s="61"/>
      <c r="F9" s="11"/>
      <c r="H9" s="51"/>
      <c r="I9" s="51"/>
      <c r="J9" s="51"/>
      <c r="K9" s="51"/>
      <c r="L9" s="51"/>
      <c r="M9" s="6"/>
      <c r="N9" s="6"/>
      <c r="O9" s="11"/>
      <c r="P9" s="11"/>
      <c r="Q9" s="11"/>
      <c r="R9" s="11"/>
      <c r="S9" s="11"/>
      <c r="T9" s="11"/>
      <c r="U9" s="11"/>
      <c r="V9" s="51"/>
      <c r="W9" s="51"/>
      <c r="X9" s="51"/>
      <c r="Y9" s="51"/>
      <c r="Z9" s="51"/>
      <c r="AA9" s="51"/>
      <c r="AB9" s="51"/>
      <c r="AC9" s="13"/>
      <c r="AD9" s="51"/>
      <c r="AE9" s="51"/>
    </row>
    <row r="10" spans="1:31" ht="17">
      <c r="A10" s="11"/>
      <c r="B10" s="11"/>
      <c r="C10" s="51"/>
      <c r="D10" s="11"/>
      <c r="E10" s="62"/>
      <c r="F10" s="11"/>
      <c r="H10" s="11"/>
      <c r="I10" s="11"/>
      <c r="J10" s="51"/>
      <c r="K10" s="51"/>
      <c r="L10" s="11"/>
      <c r="M10" s="6"/>
      <c r="N10" s="6"/>
      <c r="O10" s="11"/>
      <c r="P10" s="11"/>
      <c r="Q10" s="11"/>
      <c r="R10" s="11"/>
      <c r="S10" s="11"/>
      <c r="T10" s="12"/>
      <c r="U10" s="60"/>
      <c r="V10" s="51"/>
      <c r="W10" s="51"/>
      <c r="X10" s="51"/>
      <c r="Y10" s="51"/>
      <c r="Z10" s="51"/>
      <c r="AA10" s="51"/>
      <c r="AB10" s="51"/>
      <c r="AC10" s="13"/>
      <c r="AD10" s="51"/>
      <c r="AE10" s="51"/>
    </row>
    <row r="11" spans="1:31" ht="17">
      <c r="V11" s="13"/>
      <c r="W11" s="13"/>
      <c r="X11" s="13"/>
      <c r="Y11" s="13"/>
      <c r="Z11" s="13"/>
      <c r="AA11" s="12"/>
      <c r="AB11" s="10"/>
      <c r="AC11" s="13"/>
      <c r="AD11" s="13"/>
      <c r="AE11" s="13"/>
    </row>
  </sheetData>
  <mergeCells count="4">
    <mergeCell ref="M1:S1"/>
    <mergeCell ref="T1:U1"/>
    <mergeCell ref="A1:K1"/>
    <mergeCell ref="V1:AE1"/>
  </mergeCells>
  <hyperlinks>
    <hyperlink ref="AA3" r:id="rId1" xr:uid="{516B5413-DA24-5D43-8B82-48780B64AEFF}"/>
    <hyperlink ref="U3" r:id="rId2" display="0.00@14630.00" xr:uid="{3CE4C0DA-FFD3-4C4E-96D1-9CA0EE4F52CB}"/>
    <hyperlink ref="T3" r:id="rId3" xr:uid="{1AA9EA54-17A2-FF42-863E-6911CCCF9BF3}"/>
    <hyperlink ref="AA4" r:id="rId4" xr:uid="{46F98E2D-0887-1449-9507-D119AAADD0D6}"/>
    <hyperlink ref="U4" r:id="rId5" display="0.00@14630.00" xr:uid="{F828CDBD-C908-A140-80C4-D7A6AE043156}"/>
    <hyperlink ref="T4" r:id="rId6" xr:uid="{5C0A0D58-8200-794D-8282-317D716AA641}"/>
    <hyperlink ref="AA5" r:id="rId7" xr:uid="{8D948708-1091-A34B-BC68-BFEF69D5EEC3}"/>
    <hyperlink ref="U5" r:id="rId8" xr:uid="{69C42CC9-DD85-0C47-9F2D-0023C852DF25}"/>
    <hyperlink ref="T5" r:id="rId9" xr:uid="{BDB6FB01-61A7-2B4D-B700-74DE39217152}"/>
    <hyperlink ref="U6" r:id="rId10" xr:uid="{CCEEDC18-5A78-6540-A1FC-DF173416DBAE}"/>
    <hyperlink ref="T6" r:id="rId11" xr:uid="{DC6B5803-7838-6F40-A2EA-FFF11A7031D9}"/>
    <hyperlink ref="AA6" r:id="rId12" xr:uid="{AF957375-9E80-2542-9BF0-77DC64F84DD9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workbookViewId="0">
      <selection activeCell="A48" sqref="A48:AE48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7" t="s">
        <v>0</v>
      </c>
      <c r="B19" s="68"/>
      <c r="C19" s="68"/>
      <c r="D19" s="68"/>
      <c r="E19" s="68"/>
      <c r="F19" s="68"/>
      <c r="G19" s="68"/>
      <c r="H19" s="68"/>
      <c r="I19" s="68"/>
      <c r="J19" s="68"/>
      <c r="K19" s="69"/>
      <c r="L19" s="29"/>
      <c r="M19" s="63" t="s">
        <v>1</v>
      </c>
      <c r="N19" s="64"/>
      <c r="O19" s="64"/>
      <c r="P19" s="64"/>
      <c r="Q19" s="64"/>
      <c r="R19" s="64"/>
      <c r="S19" s="65"/>
      <c r="T19" s="66" t="s">
        <v>23486</v>
      </c>
      <c r="U19" s="65"/>
      <c r="V19" s="70" t="s">
        <v>2</v>
      </c>
      <c r="W19" s="71"/>
      <c r="X19" s="71"/>
      <c r="Y19" s="71"/>
      <c r="Z19" s="71"/>
      <c r="AA19" s="71"/>
      <c r="AB19" s="71"/>
      <c r="AC19" s="71"/>
      <c r="AD19" s="71"/>
      <c r="AE19" s="71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5" t="s">
        <v>0</v>
      </c>
      <c r="B25" s="76"/>
      <c r="C25" s="76"/>
      <c r="D25" s="76"/>
      <c r="E25" s="76"/>
      <c r="F25" s="76"/>
      <c r="G25" s="76"/>
      <c r="H25" s="76"/>
      <c r="I25" s="76"/>
      <c r="J25" s="76"/>
      <c r="K25" s="77"/>
      <c r="L25" s="39"/>
      <c r="M25" s="78" t="s">
        <v>1</v>
      </c>
      <c r="N25" s="79"/>
      <c r="O25" s="79"/>
      <c r="P25" s="79"/>
      <c r="Q25" s="79"/>
      <c r="R25" s="79"/>
      <c r="S25" s="80"/>
      <c r="T25" s="81"/>
      <c r="U25" s="82"/>
      <c r="V25" s="83" t="s">
        <v>2</v>
      </c>
      <c r="W25" s="84"/>
      <c r="X25" s="84"/>
      <c r="Y25" s="84"/>
      <c r="Z25" s="84"/>
      <c r="AA25" s="84"/>
      <c r="AB25" s="84"/>
      <c r="AC25" s="84"/>
      <c r="AD25" s="84"/>
      <c r="AE25" s="84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7" t="s">
        <v>0</v>
      </c>
      <c r="B31" s="68"/>
      <c r="C31" s="68"/>
      <c r="D31" s="68"/>
      <c r="E31" s="68"/>
      <c r="F31" s="68"/>
      <c r="G31" s="68"/>
      <c r="H31" s="68"/>
      <c r="I31" s="68"/>
      <c r="J31" s="68"/>
      <c r="K31" s="69"/>
      <c r="L31" s="29"/>
      <c r="M31" s="63" t="s">
        <v>1</v>
      </c>
      <c r="N31" s="64"/>
      <c r="O31" s="64"/>
      <c r="P31" s="64"/>
      <c r="Q31" s="64"/>
      <c r="R31" s="64"/>
      <c r="S31" s="65"/>
      <c r="T31" s="66" t="s">
        <v>23486</v>
      </c>
      <c r="U31" s="65"/>
      <c r="V31" s="70" t="s">
        <v>2</v>
      </c>
      <c r="W31" s="71"/>
      <c r="X31" s="71"/>
      <c r="Y31" s="71"/>
      <c r="Z31" s="71"/>
      <c r="AA31" s="71"/>
      <c r="AB31" s="71"/>
      <c r="AC31" s="71"/>
      <c r="AD31" s="71"/>
      <c r="AE31" s="71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7" t="s">
        <v>0</v>
      </c>
      <c r="B37" s="68"/>
      <c r="C37" s="68"/>
      <c r="D37" s="68"/>
      <c r="E37" s="68"/>
      <c r="F37" s="68"/>
      <c r="G37" s="68"/>
      <c r="H37" s="68"/>
      <c r="I37" s="68"/>
      <c r="J37" s="68"/>
      <c r="K37" s="69"/>
      <c r="L37" s="29"/>
      <c r="M37" s="63" t="s">
        <v>1</v>
      </c>
      <c r="N37" s="64"/>
      <c r="O37" s="64"/>
      <c r="P37" s="64"/>
      <c r="Q37" s="64"/>
      <c r="R37" s="64"/>
      <c r="S37" s="65"/>
      <c r="T37" s="66" t="s">
        <v>23486</v>
      </c>
      <c r="U37" s="65"/>
      <c r="V37" s="70" t="s">
        <v>2</v>
      </c>
      <c r="W37" s="71"/>
      <c r="X37" s="71"/>
      <c r="Y37" s="71"/>
      <c r="Z37" s="71"/>
      <c r="AA37" s="71"/>
      <c r="AB37" s="71"/>
      <c r="AC37" s="71"/>
      <c r="AD37" s="71"/>
      <c r="AE37" s="71"/>
    </row>
    <row r="38" spans="1:31">
      <c r="A38" s="1" t="s">
        <v>3</v>
      </c>
      <c r="B38" s="1" t="s">
        <v>4</v>
      </c>
      <c r="C38" s="1" t="s">
        <v>5</v>
      </c>
      <c r="D38" s="44" t="s">
        <v>6</v>
      </c>
      <c r="E38" s="1" t="s">
        <v>7</v>
      </c>
      <c r="F38" s="44" t="s">
        <v>8</v>
      </c>
      <c r="G38" s="20" t="s">
        <v>23463</v>
      </c>
      <c r="H38" s="44" t="s">
        <v>9</v>
      </c>
      <c r="I38" s="1" t="s">
        <v>10</v>
      </c>
      <c r="J38" s="45" t="s">
        <v>11110</v>
      </c>
      <c r="K38" s="45" t="s">
        <v>11111</v>
      </c>
      <c r="L38" s="45" t="s">
        <v>11112</v>
      </c>
      <c r="M38" s="46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7" t="s">
        <v>11117</v>
      </c>
      <c r="U38" s="44" t="s">
        <v>11116</v>
      </c>
      <c r="V38" s="44" t="s">
        <v>19</v>
      </c>
      <c r="W38" s="44" t="s">
        <v>20</v>
      </c>
      <c r="X38" s="44" t="s">
        <v>21</v>
      </c>
      <c r="Y38" s="44" t="s">
        <v>22</v>
      </c>
      <c r="Z38" s="44" t="s">
        <v>23</v>
      </c>
      <c r="AA38" s="44" t="s">
        <v>24</v>
      </c>
      <c r="AB38" s="45" t="s">
        <v>25</v>
      </c>
      <c r="AC38" s="48" t="s">
        <v>23481</v>
      </c>
      <c r="AD38" s="45" t="s">
        <v>23482</v>
      </c>
      <c r="AE38" s="45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1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9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1">
        <v>1081</v>
      </c>
      <c r="B46" s="51" t="s">
        <v>26</v>
      </c>
      <c r="C46" s="51" t="s">
        <v>23548</v>
      </c>
      <c r="D46" s="51" t="s">
        <v>23471</v>
      </c>
      <c r="E46" s="61">
        <v>1</v>
      </c>
      <c r="F46" s="11" t="s">
        <v>23517</v>
      </c>
      <c r="G46" s="11" t="s">
        <v>23518</v>
      </c>
      <c r="H46" s="51" t="s">
        <v>23503</v>
      </c>
      <c r="I46" s="51" t="s">
        <v>32</v>
      </c>
      <c r="J46" s="51" t="s">
        <v>23546</v>
      </c>
      <c r="K46" s="51" t="s">
        <v>23547</v>
      </c>
      <c r="L46" s="51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1"/>
      <c r="U46" s="51"/>
      <c r="V46" s="51" t="s">
        <v>23515</v>
      </c>
      <c r="W46" s="51" t="s">
        <v>23511</v>
      </c>
      <c r="X46" s="51" t="s">
        <v>23523</v>
      </c>
      <c r="Y46" s="51" t="s">
        <v>23512</v>
      </c>
      <c r="Z46" s="51" t="s">
        <v>23513</v>
      </c>
      <c r="AA46" s="51" t="s">
        <v>23508</v>
      </c>
      <c r="AB46" s="51" t="s">
        <v>23516</v>
      </c>
      <c r="AC46" s="13" t="s">
        <v>23484</v>
      </c>
      <c r="AD46" s="51" t="s">
        <v>23515</v>
      </c>
      <c r="AE46" s="51" t="s">
        <v>23514</v>
      </c>
    </row>
    <row r="47" spans="1:31" ht="17">
      <c r="A47" s="51">
        <v>1081</v>
      </c>
      <c r="B47" s="51" t="s">
        <v>26</v>
      </c>
      <c r="C47" s="51" t="s">
        <v>23548</v>
      </c>
      <c r="D47" s="51" t="s">
        <v>23471</v>
      </c>
      <c r="E47" s="61">
        <v>1</v>
      </c>
      <c r="F47" s="11" t="s">
        <v>23498</v>
      </c>
      <c r="G47" s="11" t="s">
        <v>23500</v>
      </c>
      <c r="H47" s="51">
        <v>2</v>
      </c>
      <c r="I47" s="51" t="s">
        <v>32</v>
      </c>
      <c r="J47" s="51" t="s">
        <v>23546</v>
      </c>
      <c r="K47" s="51" t="s">
        <v>23547</v>
      </c>
      <c r="L47" s="51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1"/>
      <c r="U47" s="51"/>
      <c r="V47" s="51" t="s">
        <v>23515</v>
      </c>
      <c r="W47" s="51" t="s">
        <v>23511</v>
      </c>
      <c r="X47" s="51" t="s">
        <v>23523</v>
      </c>
      <c r="Y47" s="51" t="s">
        <v>23512</v>
      </c>
      <c r="Z47" s="51" t="s">
        <v>23513</v>
      </c>
      <c r="AA47" s="51" t="s">
        <v>23508</v>
      </c>
      <c r="AB47" s="51" t="s">
        <v>23516</v>
      </c>
      <c r="AC47" s="13" t="s">
        <v>23484</v>
      </c>
      <c r="AD47" s="51" t="s">
        <v>23515</v>
      </c>
      <c r="AE47" s="51" t="s">
        <v>23514</v>
      </c>
    </row>
    <row r="48" spans="1:31" ht="17">
      <c r="A48" s="11">
        <v>1081</v>
      </c>
      <c r="B48" s="11" t="s">
        <v>26</v>
      </c>
      <c r="C48" s="51" t="s">
        <v>23548</v>
      </c>
      <c r="D48" s="11" t="s">
        <v>28</v>
      </c>
      <c r="E48" s="62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1" t="s">
        <v>23509</v>
      </c>
      <c r="K48" s="51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60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1" t="s">
        <v>23513</v>
      </c>
      <c r="AA48" s="51" t="s">
        <v>42</v>
      </c>
      <c r="AB48" s="51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1">
        <v>1081</v>
      </c>
      <c r="B49" s="51" t="s">
        <v>26</v>
      </c>
      <c r="C49" s="51" t="s">
        <v>23548</v>
      </c>
      <c r="D49" s="51" t="s">
        <v>23471</v>
      </c>
      <c r="E49" s="61">
        <v>1</v>
      </c>
      <c r="F49" s="11" t="s">
        <v>23498</v>
      </c>
      <c r="G49" s="11" t="s">
        <v>23500</v>
      </c>
      <c r="H49" s="51">
        <v>2</v>
      </c>
      <c r="I49" s="51" t="s">
        <v>32</v>
      </c>
      <c r="J49" s="51" t="s">
        <v>23546</v>
      </c>
      <c r="K49" s="51" t="s">
        <v>23547</v>
      </c>
      <c r="L49" s="51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1" t="s">
        <v>23513</v>
      </c>
      <c r="AA49" s="51" t="s">
        <v>42</v>
      </c>
      <c r="AB49" s="51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1">
        <v>1081</v>
      </c>
      <c r="B50" s="51" t="s">
        <v>26</v>
      </c>
      <c r="C50" s="51" t="s">
        <v>23548</v>
      </c>
      <c r="D50" s="51" t="s">
        <v>23471</v>
      </c>
      <c r="E50" s="61">
        <v>1</v>
      </c>
      <c r="F50" s="11" t="s">
        <v>23498</v>
      </c>
      <c r="G50" s="11" t="s">
        <v>23500</v>
      </c>
      <c r="H50" s="51">
        <v>2</v>
      </c>
      <c r="I50" s="51" t="s">
        <v>32</v>
      </c>
      <c r="J50" s="51" t="s">
        <v>23546</v>
      </c>
      <c r="K50" s="51" t="s">
        <v>23547</v>
      </c>
      <c r="L50" s="51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1" t="s">
        <v>23524</v>
      </c>
      <c r="W50" s="51" t="s">
        <v>23525</v>
      </c>
      <c r="X50" s="51">
        <v>33</v>
      </c>
      <c r="Y50" s="51" t="s">
        <v>23526</v>
      </c>
      <c r="Z50" s="51" t="s">
        <v>23527</v>
      </c>
      <c r="AA50" s="51" t="s">
        <v>23508</v>
      </c>
      <c r="AB50" s="51" t="s">
        <v>23516</v>
      </c>
      <c r="AC50" s="13" t="s">
        <v>23484</v>
      </c>
      <c r="AD50" s="51" t="s">
        <v>23524</v>
      </c>
      <c r="AE50" s="51" t="s">
        <v>23528</v>
      </c>
    </row>
    <row r="51" spans="1:31" ht="17">
      <c r="A51" s="51">
        <v>1081</v>
      </c>
      <c r="B51" s="51" t="s">
        <v>26</v>
      </c>
      <c r="C51" s="51" t="s">
        <v>23548</v>
      </c>
      <c r="D51" s="51" t="s">
        <v>23471</v>
      </c>
      <c r="E51" s="61">
        <v>1</v>
      </c>
      <c r="F51" s="11" t="s">
        <v>23517</v>
      </c>
      <c r="G51" s="11" t="s">
        <v>23518</v>
      </c>
      <c r="H51" s="51" t="s">
        <v>23503</v>
      </c>
      <c r="I51" s="51" t="s">
        <v>32</v>
      </c>
      <c r="J51" s="51" t="s">
        <v>23546</v>
      </c>
      <c r="K51" s="51" t="s">
        <v>23547</v>
      </c>
      <c r="L51" s="51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1" t="s">
        <v>23529</v>
      </c>
      <c r="W51" s="51" t="s">
        <v>23530</v>
      </c>
      <c r="X51" s="51">
        <v>27</v>
      </c>
      <c r="Y51" s="51" t="s">
        <v>3716</v>
      </c>
      <c r="Z51" s="51" t="s">
        <v>23531</v>
      </c>
      <c r="AA51" s="51" t="s">
        <v>23508</v>
      </c>
      <c r="AB51" s="51" t="s">
        <v>23516</v>
      </c>
      <c r="AC51" s="13" t="s">
        <v>23484</v>
      </c>
      <c r="AD51" s="51" t="s">
        <v>23529</v>
      </c>
      <c r="AE51" s="51" t="s">
        <v>23532</v>
      </c>
    </row>
    <row r="52" spans="1:31" ht="17">
      <c r="A52" s="51">
        <v>1081</v>
      </c>
      <c r="B52" s="51" t="s">
        <v>26</v>
      </c>
      <c r="C52" s="51" t="s">
        <v>23548</v>
      </c>
      <c r="D52" s="51" t="s">
        <v>23471</v>
      </c>
      <c r="E52" s="61">
        <v>1</v>
      </c>
      <c r="F52" s="11" t="s">
        <v>23517</v>
      </c>
      <c r="G52" s="11" t="s">
        <v>23518</v>
      </c>
      <c r="H52" s="51" t="s">
        <v>23503</v>
      </c>
      <c r="I52" s="51" t="s">
        <v>32</v>
      </c>
      <c r="J52" s="51" t="s">
        <v>23546</v>
      </c>
      <c r="K52" s="51" t="s">
        <v>23547</v>
      </c>
      <c r="L52" s="51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1" t="s">
        <v>23541</v>
      </c>
      <c r="W52" s="51" t="s">
        <v>23538</v>
      </c>
      <c r="X52" s="51">
        <v>14</v>
      </c>
      <c r="Y52" s="51" t="s">
        <v>3238</v>
      </c>
      <c r="Z52" s="51" t="s">
        <v>23539</v>
      </c>
      <c r="AA52" s="51" t="s">
        <v>23508</v>
      </c>
      <c r="AB52" s="51" t="s">
        <v>23516</v>
      </c>
      <c r="AC52" s="13" t="s">
        <v>23484</v>
      </c>
      <c r="AD52" s="51" t="s">
        <v>23541</v>
      </c>
      <c r="AE52" s="51" t="s">
        <v>23540</v>
      </c>
    </row>
    <row r="53" spans="1:31" ht="17">
      <c r="A53" s="11">
        <v>1081</v>
      </c>
      <c r="B53" s="11" t="s">
        <v>26</v>
      </c>
      <c r="C53" s="51" t="s">
        <v>23548</v>
      </c>
      <c r="D53" s="11" t="s">
        <v>28</v>
      </c>
      <c r="E53" s="62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1" t="s">
        <v>23546</v>
      </c>
      <c r="K53" s="51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60" t="s">
        <v>23488</v>
      </c>
      <c r="V53" s="51" t="s">
        <v>23533</v>
      </c>
      <c r="W53" s="51" t="s">
        <v>23534</v>
      </c>
      <c r="X53" s="51" t="s">
        <v>23542</v>
      </c>
      <c r="Y53" s="51" t="s">
        <v>23535</v>
      </c>
      <c r="Z53" s="51" t="s">
        <v>23536</v>
      </c>
      <c r="AA53" s="51" t="s">
        <v>23508</v>
      </c>
      <c r="AB53" s="51" t="s">
        <v>23516</v>
      </c>
      <c r="AC53" s="13" t="s">
        <v>23484</v>
      </c>
      <c r="AD53" s="51" t="s">
        <v>23533</v>
      </c>
      <c r="AE53" s="51" t="s">
        <v>23537</v>
      </c>
    </row>
    <row r="57" spans="1:31">
      <c r="A57" t="s">
        <v>23544</v>
      </c>
    </row>
    <row r="58" spans="1:31">
      <c r="A58" s="75" t="s">
        <v>0</v>
      </c>
      <c r="B58" s="76"/>
      <c r="C58" s="76"/>
      <c r="D58" s="76"/>
      <c r="E58" s="76"/>
      <c r="F58" s="76"/>
      <c r="G58" s="76"/>
      <c r="H58" s="76"/>
      <c r="I58" s="76"/>
      <c r="J58" s="76"/>
      <c r="K58" s="77"/>
      <c r="L58" s="39"/>
      <c r="M58" s="78" t="s">
        <v>1</v>
      </c>
      <c r="N58" s="79"/>
      <c r="O58" s="79"/>
      <c r="P58" s="79"/>
      <c r="Q58" s="79"/>
      <c r="R58" s="79"/>
      <c r="S58" s="80"/>
      <c r="T58" s="81" t="s">
        <v>23486</v>
      </c>
      <c r="U58" s="82"/>
      <c r="V58" s="83" t="s">
        <v>2</v>
      </c>
      <c r="W58" s="84"/>
      <c r="X58" s="84"/>
      <c r="Y58" s="84"/>
      <c r="Z58" s="84"/>
      <c r="AA58" s="84"/>
      <c r="AB58" s="84"/>
      <c r="AC58" s="84"/>
      <c r="AD58" s="84"/>
      <c r="AE58" s="84"/>
    </row>
    <row r="59" spans="1:31">
      <c r="A59" s="3" t="s">
        <v>3</v>
      </c>
      <c r="B59" s="4" t="s">
        <v>4</v>
      </c>
      <c r="C59" s="4" t="s">
        <v>5</v>
      </c>
      <c r="D59" s="53" t="s">
        <v>6</v>
      </c>
      <c r="E59" s="4" t="s">
        <v>7</v>
      </c>
      <c r="F59" s="53" t="s">
        <v>8</v>
      </c>
      <c r="G59" s="54" t="s">
        <v>23463</v>
      </c>
      <c r="H59" s="55" t="s">
        <v>9</v>
      </c>
      <c r="I59" s="4" t="s">
        <v>10</v>
      </c>
      <c r="J59" s="56" t="s">
        <v>11110</v>
      </c>
      <c r="K59" s="57" t="s">
        <v>11111</v>
      </c>
      <c r="L59" s="57" t="s">
        <v>11112</v>
      </c>
      <c r="M59" s="58" t="s">
        <v>11107</v>
      </c>
      <c r="N59" s="4" t="s">
        <v>12</v>
      </c>
      <c r="O59" s="40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7" t="s">
        <v>11117</v>
      </c>
      <c r="U59" s="55" t="s">
        <v>11116</v>
      </c>
      <c r="V59" s="53" t="s">
        <v>19</v>
      </c>
      <c r="W59" s="53" t="s">
        <v>20</v>
      </c>
      <c r="X59" s="53" t="s">
        <v>21</v>
      </c>
      <c r="Y59" s="53" t="s">
        <v>22</v>
      </c>
      <c r="Z59" s="53" t="s">
        <v>23</v>
      </c>
      <c r="AA59" s="53" t="s">
        <v>24</v>
      </c>
      <c r="AB59" s="56" t="s">
        <v>25</v>
      </c>
      <c r="AC59" s="55" t="s">
        <v>23481</v>
      </c>
      <c r="AD59" s="56" t="s">
        <v>23482</v>
      </c>
      <c r="AE59" s="57" t="s">
        <v>23483</v>
      </c>
    </row>
    <row r="60" spans="1:31">
      <c r="A60" s="50">
        <v>1081</v>
      </c>
      <c r="B60" s="50" t="s">
        <v>26</v>
      </c>
      <c r="C60" s="51" t="s">
        <v>23545</v>
      </c>
      <c r="D60" s="50" t="s">
        <v>23471</v>
      </c>
      <c r="E60" s="50">
        <v>1</v>
      </c>
      <c r="F60" s="51" t="s">
        <v>23498</v>
      </c>
      <c r="G60" s="51" t="s">
        <v>23500</v>
      </c>
      <c r="H60" s="51" t="s">
        <v>31</v>
      </c>
      <c r="I60" s="50" t="s">
        <v>32</v>
      </c>
      <c r="J60" s="51" t="s">
        <v>23509</v>
      </c>
      <c r="K60" s="51" t="s">
        <v>23510</v>
      </c>
      <c r="L60" s="50"/>
      <c r="M60" s="51" t="s">
        <v>23475</v>
      </c>
      <c r="N60" s="50">
        <v>8008000</v>
      </c>
      <c r="O60" s="50" t="s">
        <v>116</v>
      </c>
      <c r="P60" s="50" t="s">
        <v>117</v>
      </c>
      <c r="Q60" s="50" t="s">
        <v>102</v>
      </c>
      <c r="R60" s="50">
        <v>203501</v>
      </c>
      <c r="S60" s="50">
        <v>300818</v>
      </c>
      <c r="T60" s="50"/>
      <c r="U60" s="50"/>
      <c r="V60" s="59" t="s">
        <v>23515</v>
      </c>
      <c r="W60" s="59" t="s">
        <v>23511</v>
      </c>
      <c r="X60" s="59" t="s">
        <v>23523</v>
      </c>
      <c r="Y60" s="59" t="s">
        <v>23512</v>
      </c>
      <c r="Z60" s="59" t="s">
        <v>23513</v>
      </c>
      <c r="AA60" s="59" t="s">
        <v>23508</v>
      </c>
      <c r="AB60" s="59" t="s">
        <v>23516</v>
      </c>
      <c r="AC60" s="59" t="s">
        <v>23543</v>
      </c>
      <c r="AD60" s="59" t="s">
        <v>23515</v>
      </c>
      <c r="AE60" s="59" t="s">
        <v>23514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F12" sqref="F1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2026-06-25T20:39:44Z</dcterms:modified>
</cp:coreProperties>
</file>